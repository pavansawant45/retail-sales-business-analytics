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conciliation" sheetId="1" state="visible" r:id="rId3"/>
    <sheet name="Monthly revenue"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<sst xmlns="http://schemas.openxmlformats.org/spreadsheetml/2006/main" count="89" uniqueCount="79">
  <si>
    <t xml:space="preserve">SQL vs Excel reconciliation</t>
  </si>
  <si>
    <t xml:space="preserve">SQL values come from the MySQL result tabs; Excel values come from the analyst's working workbook (not included: it contains the dataset). Blue = typed input, black = formula.</t>
  </si>
  <si>
    <t xml:space="preserve">Check</t>
  </si>
  <si>
    <t xml:space="preserve">SQL source</t>
  </si>
  <si>
    <t xml:space="preserve">SQL value</t>
  </si>
  <si>
    <t xml:space="preserve">Excel value</t>
  </si>
  <si>
    <t xml:space="preserve">Decimals compared</t>
  </si>
  <si>
    <t xml:space="preserve">Difference</t>
  </si>
  <si>
    <t xml:space="preserve">Status</t>
  </si>
  <si>
    <t xml:space="preserve">Rows in fact_items</t>
  </si>
  <si>
    <t xml:space="preserve">07_dashboard_queries.sql (validation)</t>
  </si>
  <si>
    <t xml:space="preserve">Revenue, all valid orders</t>
  </si>
  <si>
    <t xml:space="preserve">04_sales_performance.sql A1</t>
  </si>
  <si>
    <t xml:space="preserve">Freight, all valid orders</t>
  </si>
  <si>
    <t xml:space="preserve">Distinct orders</t>
  </si>
  <si>
    <t xml:space="preserve">Distinct customers</t>
  </si>
  <si>
    <t xml:space="preserve">Revenue, Nov 2017</t>
  </si>
  <si>
    <t xml:space="preserve">04_sales_performance.sql B</t>
  </si>
  <si>
    <t xml:space="preserve">Revenue, window Jan 2017 to Aug 2018</t>
  </si>
  <si>
    <t xml:space="preserve">Revenue, SP, window</t>
  </si>
  <si>
    <t xml:space="preserve">05_product_and_region_analysis.sql B1</t>
  </si>
  <si>
    <t xml:space="preserve">Revenue, health_beauty, window</t>
  </si>
  <si>
    <t xml:space="preserve">05_product_and_region_analysis.sql A1</t>
  </si>
  <si>
    <t xml:space="preserve">Orders in fact_orders</t>
  </si>
  <si>
    <t xml:space="preserve">Revenue in fact_orders</t>
  </si>
  <si>
    <t xml:space="preserve">Average delivery days</t>
  </si>
  <si>
    <t xml:space="preserve">06_operations_and_customer_experience.sql A1 (1 decimal)</t>
  </si>
  <si>
    <t xml:space="preserve">Median delivery days</t>
  </si>
  <si>
    <t xml:space="preserve">06_operations_and_customer_experience.sql A2 (1 decimal)</t>
  </si>
  <si>
    <t xml:space="preserve">Late delivery share</t>
  </si>
  <si>
    <t xml:space="preserve">06_operations_and_customer_experience.sql A1 (1 decimal of a percent)</t>
  </si>
  <si>
    <t xml:space="preserve">Orders with a review</t>
  </si>
  <si>
    <t xml:space="preserve">Average review score, late deliveries</t>
  </si>
  <si>
    <t xml:space="preserve">06_operations_and_customer_experience.sql B3</t>
  </si>
  <si>
    <t xml:space="preserve">Average review score, on-time deliveries</t>
  </si>
  <si>
    <t xml:space="preserve">Checks passed</t>
  </si>
  <si>
    <t xml:space="preserve">Checks total</t>
  </si>
  <si>
    <t xml:space="preserve">Assumptions: SQL and Excel values were typed from the analyst's own result tabs and workbook. Delivery days, the median and the late share were compared at the precision the SQL result was shown (the 'Decimals compared' column). Late share is stored as a fraction (0.068 = 6.8%).</t>
  </si>
  <si>
    <t xml:space="preserve">Monthly revenue of valid orders: SQL vs Excel PivotTable</t>
  </si>
  <si>
    <t xml:space="preserve">Months with no valid orders (Nov 2016, Oct 2018) do not appear. SQL: v_monthly_sales via 04_sales_performance.sql B and B2. Excel: PivotTable on the fact_items export.</t>
  </si>
  <si>
    <t xml:space="preserve">Month (purchase)</t>
  </si>
  <si>
    <t xml:space="preserve">SQL revenue</t>
  </si>
  <si>
    <t xml:space="preserve">Excel pivot revenue</t>
  </si>
  <si>
    <t xml:space="preserve">2016-09</t>
  </si>
  <si>
    <t xml:space="preserve">2016-10</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</si>
  <si>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</si>
  <si>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</si>
  <si>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</si>
  <si>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</si>
  <si>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</si>
  <si>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</si>
  <si>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</si>
  <si>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</si>
  <si>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</si>
  <si>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</si>
  <si>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</si>
  <si>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</si>
  <si>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</si>
  <si>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</si>
  <si>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</si>
  <si>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</si>
  <si>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</si>
  <si>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</si>
  <si>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</si>
  <si>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</si>
  <si>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</si>
  <si>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</si>
  <si>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Total</t>
  </si>
  <si>
    <t xml:space="preserve">Expected total (verified in SQL)</t>
  </si>
  <si>
    <t xml:space="preserve">What this workbook is</t>
  </si>
  <si>
    <t xml:space="preserve">A summary of the independent Excel check of the SQL results for the Olist retail analytics project. It contains no row-level data.</t>
  </si>
  <si>
    <t xml:space="preserve">Why row-level data is excluded</t>
  </si>
  <si>
    <t xml:space="preserve">The Olist dataset is licensed CC BY-NC-SA 4.0 (source: Kaggle, Brazilian E-Commerce Public Dataset by Olist, Version 2). The full working workbook (excel/working_full.xlsx) holds the dataset and is not committed.</t>
  </si>
  <si>
    <t xml:space="preserve">How the checks were done</t>
  </si>
  <si>
    <t xml:space="preserve">1. fact_items.csv (112,101 rows) and fact_orders_clean.csv (98,199 rows) were exported from MySQL and loaded into Excel.</t>
  </si>
  <si>
    <t xml:space="preserve">2. Totals used SUM and SUMIFS; distinct counts used a PivotTable with the Data Model; monthly revenue used a PivotTable grouped by month.</t>
  </si>
  <si>
    <t xml:space="preserve">3. Delivery and review figures used AVERAGE, MEDIAN, COUNT and AVERAGEIFS on the order-level export.</t>
  </si>
  <si>
    <t xml:space="preserve">Limitations</t>
  </si>
  <si>
    <t xml:space="preserve">Values in the blue cells were typed from the analyst's result tabs and workbook, so this file documents the comparison but does not recompute it. The average, median and late-share rows are compared at the precision the SQL result was shown.</t>
  </si>
</sst>
</file>

<file path=xl/styles.xml><?xml version="1.0" encoding="utf-8"?>
<styleSheet xmlns="http://schemas.openxmlformats.org/spreadsheetml/2006/main">
  <numFmts count="7">
    <numFmt numFmtId="164" formatCode="General"/>
    <numFmt numFmtId="165" formatCode="#,##0"/>
    <numFmt numFmtId="166" formatCode="0.000"/>
    <numFmt numFmtId="167" formatCode="#,##0.00"/>
    <numFmt numFmtId="168" formatCode="0.00"/>
    <numFmt numFmtId="169" formatCode="0.0%"/>
    <numFmt numFmtId="170"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8"/>
    <col collapsed="false" customWidth="true" hidden="false" outlineLevel="0" max="4" min="3" style="0" width="16"/>
    <col collapsed="false" customWidth="true" hidden="false" outlineLevel="0" max="6" min="5" style="0" width="12"/>
    <col collapsed="false" customWidth="true" hidden="false" outlineLevel="0" max="7" min="7"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row>
    <row r="5" customFormat="false" ht="15" hidden="false" customHeight="false" outlineLevel="0" collapsed="false">
      <c r="A5" s="4" t="s">
        <v>9</v>
      </c>
      <c r="B5" s="4" t="s">
        <v>10</v>
      </c>
      <c r="C5" s="5" t="n">
        <v>112101</v>
      </c>
      <c r="D5" s="5" t="n">
        <v>112101</v>
      </c>
      <c r="E5" s="6" t="n">
        <v>0</v>
      </c>
      <c r="F5" s="7" t="n">
        <f aca="false">ROUND(D5,E5)-ROUND(C5,E5)</f>
        <v>0</v>
      </c>
      <c r="G5" s="8" t="str">
        <f aca="false">IF(ABS(F5)&lt;0.5/10^E5,"Match","CHECK")</f>
        <v>Match</v>
      </c>
    </row>
    <row r="6" customFormat="false" ht="15" hidden="false" customHeight="false" outlineLevel="0" collapsed="false">
      <c r="A6" s="4" t="s">
        <v>11</v>
      </c>
      <c r="B6" s="4" t="s">
        <v>12</v>
      </c>
      <c r="C6" s="9" t="n">
        <v>13494400.74</v>
      </c>
      <c r="D6" s="9" t="n">
        <v>13494400.74</v>
      </c>
      <c r="E6" s="6" t="n">
        <v>2</v>
      </c>
      <c r="F6" s="7" t="n">
        <f aca="false">ROUND(D6,E6)-ROUND(C6,E6)</f>
        <v>0</v>
      </c>
      <c r="G6" s="8" t="str">
        <f aca="false">IF(ABS(F6)&lt;0.5/10^E6,"Match","CHECK")</f>
        <v>Match</v>
      </c>
    </row>
    <row r="7" customFormat="false" ht="15" hidden="false" customHeight="false" outlineLevel="0" collapsed="false">
      <c r="A7" s="4" t="s">
        <v>13</v>
      </c>
      <c r="B7" s="4" t="s">
        <v>12</v>
      </c>
      <c r="C7" s="9" t="n">
        <v>2241126.29</v>
      </c>
      <c r="D7" s="9" t="n">
        <v>2241126.29</v>
      </c>
      <c r="E7" s="6" t="n">
        <v>2</v>
      </c>
      <c r="F7" s="7" t="n">
        <f aca="false">ROUND(D7,E7)-ROUND(C7,E7)</f>
        <v>0</v>
      </c>
      <c r="G7" s="8" t="str">
        <f aca="false">IF(ABS(F7)&lt;0.5/10^E7,"Match","CHECK")</f>
        <v>Match</v>
      </c>
    </row>
    <row r="8" customFormat="false" ht="15" hidden="false" customHeight="false" outlineLevel="0" collapsed="false">
      <c r="A8" s="4" t="s">
        <v>14</v>
      </c>
      <c r="B8" s="4" t="s">
        <v>12</v>
      </c>
      <c r="C8" s="5" t="n">
        <v>98199</v>
      </c>
      <c r="D8" s="5" t="n">
        <v>98199</v>
      </c>
      <c r="E8" s="6" t="n">
        <v>0</v>
      </c>
      <c r="F8" s="7" t="n">
        <f aca="false">ROUND(D8,E8)-ROUND(C8,E8)</f>
        <v>0</v>
      </c>
      <c r="G8" s="8" t="str">
        <f aca="false">IF(ABS(F8)&lt;0.5/10^E8,"Match","CHECK")</f>
        <v>Match</v>
      </c>
    </row>
    <row r="9" customFormat="false" ht="15" hidden="false" customHeight="false" outlineLevel="0" collapsed="false">
      <c r="A9" s="4" t="s">
        <v>15</v>
      </c>
      <c r="B9" s="4" t="s">
        <v>12</v>
      </c>
      <c r="C9" s="5" t="n">
        <v>94983</v>
      </c>
      <c r="D9" s="5" t="n">
        <v>94983</v>
      </c>
      <c r="E9" s="6" t="n">
        <v>0</v>
      </c>
      <c r="F9" s="7" t="n">
        <f aca="false">ROUND(D9,E9)-ROUND(C9,E9)</f>
        <v>0</v>
      </c>
      <c r="G9" s="8" t="str">
        <f aca="false">IF(ABS(F9)&lt;0.5/10^E9,"Match","CHECK")</f>
        <v>Match</v>
      </c>
    </row>
    <row r="10" customFormat="false" ht="15" hidden="false" customHeight="false" outlineLevel="0" collapsed="false">
      <c r="A10" s="4" t="s">
        <v>16</v>
      </c>
      <c r="B10" s="4" t="s">
        <v>17</v>
      </c>
      <c r="C10" s="9" t="n">
        <v>1003862.14</v>
      </c>
      <c r="D10" s="9" t="n">
        <v>1003862.14</v>
      </c>
      <c r="E10" s="6" t="n">
        <v>2</v>
      </c>
      <c r="F10" s="7" t="n">
        <f aca="false">ROUND(D10,E10)-ROUND(C10,E10)</f>
        <v>0</v>
      </c>
      <c r="G10" s="8" t="str">
        <f aca="false">IF(ABS(F10)&lt;0.5/10^E10,"Match","CHECK")</f>
        <v>Match</v>
      </c>
    </row>
    <row r="11" customFormat="false" ht="15" hidden="false" customHeight="false" outlineLevel="0" collapsed="false">
      <c r="A11" s="4" t="s">
        <v>18</v>
      </c>
      <c r="B11" s="4" t="s">
        <v>12</v>
      </c>
      <c r="C11" s="9" t="n">
        <v>13449529.68</v>
      </c>
      <c r="D11" s="9" t="n">
        <v>13449529.68</v>
      </c>
      <c r="E11" s="6" t="n">
        <v>2</v>
      </c>
      <c r="F11" s="7" t="n">
        <f aca="false">ROUND(D11,E11)-ROUND(C11,E11)</f>
        <v>0</v>
      </c>
      <c r="G11" s="8" t="str">
        <f aca="false">IF(ABS(F11)&lt;0.5/10^E11,"Match","CHECK")</f>
        <v>Match</v>
      </c>
    </row>
    <row r="12" customFormat="false" ht="15" hidden="false" customHeight="false" outlineLevel="0" collapsed="false">
      <c r="A12" s="4" t="s">
        <v>19</v>
      </c>
      <c r="B12" s="4" t="s">
        <v>20</v>
      </c>
      <c r="C12" s="9" t="n">
        <v>5150778.7</v>
      </c>
      <c r="D12" s="9" t="n">
        <v>5150778.7</v>
      </c>
      <c r="E12" s="6" t="n">
        <v>2</v>
      </c>
      <c r="F12" s="7" t="n">
        <f aca="false">ROUND(D12,E12)-ROUND(C12,E12)</f>
        <v>0</v>
      </c>
      <c r="G12" s="8" t="str">
        <f aca="false">IF(ABS(F12)&lt;0.5/10^E12,"Match","CHECK")</f>
        <v>Match</v>
      </c>
    </row>
    <row r="13" customFormat="false" ht="15" hidden="false" customHeight="false" outlineLevel="0" collapsed="false">
      <c r="A13" s="4" t="s">
        <v>21</v>
      </c>
      <c r="B13" s="4" t="s">
        <v>22</v>
      </c>
      <c r="C13" s="9" t="n">
        <v>1251145.54</v>
      </c>
      <c r="D13" s="9" t="n">
        <v>1251145.54</v>
      </c>
      <c r="E13" s="6" t="n">
        <v>2</v>
      </c>
      <c r="F13" s="7" t="n">
        <f aca="false">ROUND(D13,E13)-ROUND(C13,E13)</f>
        <v>0</v>
      </c>
      <c r="G13" s="8" t="str">
        <f aca="false">IF(ABS(F13)&lt;0.5/10^E13,"Match","CHECK")</f>
        <v>Match</v>
      </c>
    </row>
    <row r="14" customFormat="false" ht="15" hidden="false" customHeight="false" outlineLevel="0" collapsed="false">
      <c r="A14" s="4" t="s">
        <v>23</v>
      </c>
      <c r="B14" s="4" t="s">
        <v>10</v>
      </c>
      <c r="C14" s="5" t="n">
        <v>98199</v>
      </c>
      <c r="D14" s="5" t="n">
        <v>98199</v>
      </c>
      <c r="E14" s="6" t="n">
        <v>0</v>
      </c>
      <c r="F14" s="7" t="n">
        <f aca="false">ROUND(D14,E14)-ROUND(C14,E14)</f>
        <v>0</v>
      </c>
      <c r="G14" s="8" t="str">
        <f aca="false">IF(ABS(F14)&lt;0.5/10^E14,"Match","CHECK")</f>
        <v>Match</v>
      </c>
    </row>
    <row r="15" customFormat="false" ht="15" hidden="false" customHeight="false" outlineLevel="0" collapsed="false">
      <c r="A15" s="4" t="s">
        <v>24</v>
      </c>
      <c r="B15" s="4" t="s">
        <v>10</v>
      </c>
      <c r="C15" s="9" t="n">
        <v>13494400.74</v>
      </c>
      <c r="D15" s="9" t="n">
        <v>13494400.74</v>
      </c>
      <c r="E15" s="6" t="n">
        <v>2</v>
      </c>
      <c r="F15" s="7" t="n">
        <f aca="false">ROUND(D15,E15)-ROUND(C15,E15)</f>
        <v>0</v>
      </c>
      <c r="G15" s="8" t="str">
        <f aca="false">IF(ABS(F15)&lt;0.5/10^E15,"Match","CHECK")</f>
        <v>Match</v>
      </c>
    </row>
    <row r="16" customFormat="false" ht="15" hidden="false" customHeight="false" outlineLevel="0" collapsed="false">
      <c r="A16" s="4" t="s">
        <v>25</v>
      </c>
      <c r="B16" s="4" t="s">
        <v>26</v>
      </c>
      <c r="C16" s="10" t="n">
        <v>12.6</v>
      </c>
      <c r="D16" s="10" t="n">
        <v>12.56</v>
      </c>
      <c r="E16" s="6" t="n">
        <v>1</v>
      </c>
      <c r="F16" s="7" t="n">
        <f aca="false">ROUND(D16,E16)-ROUND(C16,E16)</f>
        <v>0</v>
      </c>
      <c r="G16" s="8" t="str">
        <f aca="false">IF(ABS(F16)&lt;0.5/10^E16,"Match","CHECK")</f>
        <v>Match</v>
      </c>
    </row>
    <row r="17" customFormat="false" ht="15" hidden="false" customHeight="false" outlineLevel="0" collapsed="false">
      <c r="A17" s="4" t="s">
        <v>27</v>
      </c>
      <c r="B17" s="4" t="s">
        <v>28</v>
      </c>
      <c r="C17" s="10" t="n">
        <v>10.2</v>
      </c>
      <c r="D17" s="10" t="n">
        <v>10.22</v>
      </c>
      <c r="E17" s="6" t="n">
        <v>1</v>
      </c>
      <c r="F17" s="7" t="n">
        <f aca="false">ROUND(D17,E17)-ROUND(C17,E17)</f>
        <v>0</v>
      </c>
      <c r="G17" s="8" t="str">
        <f aca="false">IF(ABS(F17)&lt;0.5/10^E17,"Match","CHECK")</f>
        <v>Match</v>
      </c>
    </row>
    <row r="18" customFormat="false" ht="15" hidden="false" customHeight="false" outlineLevel="0" collapsed="false">
      <c r="A18" s="4" t="s">
        <v>29</v>
      </c>
      <c r="B18" s="4" t="s">
        <v>30</v>
      </c>
      <c r="C18" s="11" t="n">
        <v>0.068</v>
      </c>
      <c r="D18" s="11" t="n">
        <v>0.068</v>
      </c>
      <c r="E18" s="6" t="n">
        <v>3</v>
      </c>
      <c r="F18" s="7" t="n">
        <f aca="false">ROUND(D18,E18)-ROUND(C18,E18)</f>
        <v>0</v>
      </c>
      <c r="G18" s="8" t="str">
        <f aca="false">IF(ABS(F18)&lt;0.5/10^E18,"Match","CHECK")</f>
        <v>Match</v>
      </c>
    </row>
    <row r="19" customFormat="false" ht="15" hidden="false" customHeight="false" outlineLevel="0" collapsed="false">
      <c r="A19" s="4" t="s">
        <v>31</v>
      </c>
      <c r="B19" s="4" t="s">
        <v>10</v>
      </c>
      <c r="C19" s="5" t="n">
        <v>97467</v>
      </c>
      <c r="D19" s="5" t="n">
        <v>97467</v>
      </c>
      <c r="E19" s="6" t="n">
        <v>0</v>
      </c>
      <c r="F19" s="7" t="n">
        <f aca="false">ROUND(D19,E19)-ROUND(C19,E19)</f>
        <v>0</v>
      </c>
      <c r="G19" s="8" t="str">
        <f aca="false">IF(ABS(F19)&lt;0.5/10^E19,"Match","CHECK")</f>
        <v>Match</v>
      </c>
    </row>
    <row r="20" customFormat="false" ht="15" hidden="false" customHeight="false" outlineLevel="0" collapsed="false">
      <c r="A20" s="4" t="s">
        <v>32</v>
      </c>
      <c r="B20" s="4" t="s">
        <v>33</v>
      </c>
      <c r="C20" s="10" t="n">
        <v>2.27</v>
      </c>
      <c r="D20" s="10" t="n">
        <v>2.27</v>
      </c>
      <c r="E20" s="6" t="n">
        <v>2</v>
      </c>
      <c r="F20" s="7" t="n">
        <f aca="false">ROUND(D20,E20)-ROUND(C20,E20)</f>
        <v>0</v>
      </c>
      <c r="G20" s="8" t="str">
        <f aca="false">IF(ABS(F20)&lt;0.5/10^E20,"Match","CHECK")</f>
        <v>Match</v>
      </c>
    </row>
    <row r="21" customFormat="false" ht="15" hidden="false" customHeight="false" outlineLevel="0" collapsed="false">
      <c r="A21" s="4" t="s">
        <v>34</v>
      </c>
      <c r="B21" s="4" t="s">
        <v>33</v>
      </c>
      <c r="C21" s="10" t="n">
        <v>4.29</v>
      </c>
      <c r="D21" s="10" t="n">
        <v>4.29</v>
      </c>
      <c r="E21" s="6" t="n">
        <v>2</v>
      </c>
      <c r="F21" s="7" t="n">
        <f aca="false">ROUND(D21,E21)-ROUND(C21,E21)</f>
        <v>0</v>
      </c>
      <c r="G21" s="8" t="str">
        <f aca="false">IF(ABS(F21)&lt;0.5/10^E21,"Match","CHECK")</f>
        <v>Match</v>
      </c>
    </row>
    <row r="23" customFormat="false" ht="15" hidden="false" customHeight="false" outlineLevel="0" collapsed="false">
      <c r="A23" s="12" t="s">
        <v>35</v>
      </c>
      <c r="C23" s="13" t="n">
        <f aca="false">COUNTIF(G5:G21,"Match")</f>
        <v>17</v>
      </c>
    </row>
    <row r="24" customFormat="false" ht="15" hidden="false" customHeight="false" outlineLevel="0" collapsed="false">
      <c r="A24" s="12" t="s">
        <v>36</v>
      </c>
      <c r="C24" s="13" t="n">
        <f aca="false">COUNTA(A5:A21)</f>
        <v>17</v>
      </c>
    </row>
    <row r="26" customFormat="false" ht="15" hidden="false" customHeight="false" outlineLevel="0" collapsed="false">
      <c r="A26" s="2"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20"/>
    <col collapsed="false" customWidth="true" hidden="false" outlineLevel="0" max="4" min="4" style="0" width="14"/>
    <col collapsed="false" customWidth="true" hidden="false" outlineLevel="0" max="5" min="5" style="0" width="10"/>
  </cols>
  <sheetData>
    <row r="1" customFormat="false" ht="17.35" hidden="false" customHeight="false" outlineLevel="0" collapsed="false">
      <c r="A1" s="1" t="s">
        <v>38</v>
      </c>
    </row>
    <row r="2" customFormat="false" ht="15" hidden="false" customHeight="false" outlineLevel="0" collapsed="false">
      <c r="A2" s="2" t="s">
        <v>39</v>
      </c>
    </row>
    <row r="4" customFormat="false" ht="15" hidden="false" customHeight="false" outlineLevel="0" collapsed="false">
      <c r="A4" s="3" t="s">
        <v>40</v>
      </c>
      <c r="B4" s="3" t="s">
        <v>41</v>
      </c>
      <c r="C4" s="3" t="s">
        <v>42</v>
      </c>
      <c r="D4" s="3" t="s">
        <v>7</v>
      </c>
      <c r="E4" s="3" t="s">
        <v>8</v>
      </c>
    </row>
    <row r="5" customFormat="false" ht="15" hidden="false" customHeight="false" outlineLevel="0" collapsed="false">
      <c r="A5" s="4" t="s">
        <v>43</v>
      </c>
      <c r="B5" s="9" t="n">
        <v>207.86</v>
      </c>
      <c r="C5" s="9" t="n">
        <v>207.86</v>
      </c>
      <c r="D5" s="14" t="n">
        <f aca="false">ROUND(C5-B5,2)</f>
        <v>0</v>
      </c>
      <c r="E5" s="8" t="str">
        <f aca="false">IF(ABS(D5)&lt;0.005,"Match","CHECK")</f>
        <v>Match</v>
      </c>
    </row>
    <row r="6" customFormat="false" ht="15" hidden="false" customHeight="false" outlineLevel="0" collapsed="false">
      <c r="A6" s="4" t="s">
        <v>44</v>
      </c>
      <c r="B6" s="9" t="n">
        <v>44507.3</v>
      </c>
      <c r="C6" s="9" t="n">
        <v>44507.3</v>
      </c>
      <c r="D6" s="14" t="n">
        <f aca="false">ROUND(C6-B6,2)</f>
        <v>0</v>
      </c>
      <c r="E6" s="8" t="str">
        <f aca="false">IF(ABS(D6)&lt;0.005,"Match","CHECK")</f>
        <v>Match</v>
      </c>
    </row>
    <row r="7" customFormat="false" ht="15" hidden="false" customHeight="false" outlineLevel="0" collapsed="false">
      <c r="A7" s="4" t="s">
        <v>45</v>
      </c>
      <c r="B7" s="9" t="n">
        <v>10.9</v>
      </c>
      <c r="C7" s="9" t="n">
        <v>10.9</v>
      </c>
      <c r="D7" s="14" t="n">
        <f aca="false">ROUND(C7-B7,2)</f>
        <v>0</v>
      </c>
      <c r="E7" s="8" t="str">
        <f aca="false">IF(ABS(D7)&lt;0.005,"Match","CHECK")</f>
        <v>Match</v>
      </c>
    </row>
    <row r="8" customFormat="false" ht="15" hidden="false" customHeight="false" outlineLevel="0" collapsed="false">
      <c r="A8" s="4" t="s">
        <v>46</v>
      </c>
      <c r="B8" s="9" t="n">
        <v>120098.27</v>
      </c>
      <c r="C8" s="9" t="n">
        <v>120098.27</v>
      </c>
      <c r="D8" s="14" t="n">
        <f aca="false">ROUND(C8-B8,2)</f>
        <v>0</v>
      </c>
      <c r="E8" s="8" t="str">
        <f aca="false">IF(ABS(D8)&lt;0.005,"Match","CHECK")</f>
        <v>Match</v>
      </c>
    </row>
    <row r="9" customFormat="false" ht="15" hidden="false" customHeight="false" outlineLevel="0" collapsed="false">
      <c r="A9" s="4" t="s">
        <v>47</v>
      </c>
      <c r="B9" s="9" t="n">
        <v>244959.35</v>
      </c>
      <c r="C9" s="9" t="n">
        <v>244959.35</v>
      </c>
      <c r="D9" s="14" t="n">
        <f aca="false">ROUND(C9-B9,2)</f>
        <v>0</v>
      </c>
      <c r="E9" s="8" t="str">
        <f aca="false">IF(ABS(D9)&lt;0.005,"Match","CHECK")</f>
        <v>Match</v>
      </c>
    </row>
    <row r="10" customFormat="false" ht="15" hidden="false" customHeight="false" outlineLevel="0" collapsed="false">
      <c r="A10" s="4" t="s">
        <v>48</v>
      </c>
      <c r="B10" s="9" t="n">
        <v>368341.32</v>
      </c>
      <c r="C10" s="9" t="n">
        <v>368341.32</v>
      </c>
      <c r="D10" s="14" t="n">
        <f aca="false">ROUND(C10-B10,2)</f>
        <v>0</v>
      </c>
      <c r="E10" s="8" t="str">
        <f aca="false">IF(ABS(D10)&lt;0.005,"Match","CHECK")</f>
        <v>Match</v>
      </c>
    </row>
    <row r="11" customFormat="false" ht="15" hidden="false" customHeight="false" outlineLevel="0" collapsed="false">
      <c r="A11" s="4" t="s">
        <v>49</v>
      </c>
      <c r="B11" s="9" t="n">
        <v>353842.98</v>
      </c>
      <c r="C11" s="9" t="n">
        <v>353842.98</v>
      </c>
      <c r="D11" s="14" t="n">
        <f aca="false">ROUND(C11-B11,2)</f>
        <v>0</v>
      </c>
      <c r="E11" s="8" t="str">
        <f aca="false">IF(ABS(D11)&lt;0.005,"Match","CHECK")</f>
        <v>Match</v>
      </c>
    </row>
    <row r="12" customFormat="false" ht="15" hidden="false" customHeight="false" outlineLevel="0" collapsed="false">
      <c r="A12" s="4" t="s">
        <v>50</v>
      </c>
      <c r="B12" s="9" t="n">
        <v>503159.19</v>
      </c>
      <c r="C12" s="9" t="n">
        <v>503159.19</v>
      </c>
      <c r="D12" s="14" t="n">
        <f aca="false">ROUND(C12-B12,2)</f>
        <v>0</v>
      </c>
      <c r="E12" s="8" t="str">
        <f aca="false">IF(ABS(D12)&lt;0.005,"Match","CHECK")</f>
        <v>Match</v>
      </c>
    </row>
    <row r="13" customFormat="false" ht="15" hidden="false" customHeight="false" outlineLevel="0" collapsed="false">
      <c r="A13" s="4" t="s">
        <v>51</v>
      </c>
      <c r="B13" s="9" t="n">
        <v>429916.61</v>
      </c>
      <c r="C13" s="9" t="n">
        <v>429916.61</v>
      </c>
      <c r="D13" s="14" t="n">
        <f aca="false">ROUND(C13-B13,2)</f>
        <v>0</v>
      </c>
      <c r="E13" s="8" t="str">
        <f aca="false">IF(ABS(D13)&lt;0.005,"Match","CHECK")</f>
        <v>Match</v>
      </c>
    </row>
    <row r="14" customFormat="false" ht="15" hidden="false" customHeight="false" outlineLevel="0" collapsed="false">
      <c r="A14" s="4" t="s">
        <v>52</v>
      </c>
      <c r="B14" s="9" t="n">
        <v>492287.3</v>
      </c>
      <c r="C14" s="9" t="n">
        <v>492287.3</v>
      </c>
      <c r="D14" s="14" t="n">
        <f aca="false">ROUND(C14-B14,2)</f>
        <v>0</v>
      </c>
      <c r="E14" s="8" t="str">
        <f aca="false">IF(ABS(D14)&lt;0.005,"Match","CHECK")</f>
        <v>Match</v>
      </c>
    </row>
    <row r="15" customFormat="false" ht="15" hidden="false" customHeight="false" outlineLevel="0" collapsed="false">
      <c r="A15" s="4" t="s">
        <v>53</v>
      </c>
      <c r="B15" s="9" t="n">
        <v>568245.79</v>
      </c>
      <c r="C15" s="9" t="n">
        <v>568245.79</v>
      </c>
      <c r="D15" s="14" t="n">
        <f aca="false">ROUND(C15-B15,2)</f>
        <v>0</v>
      </c>
      <c r="E15" s="8" t="str">
        <f aca="false">IF(ABS(D15)&lt;0.005,"Match","CHECK")</f>
        <v>Match</v>
      </c>
    </row>
    <row r="16" customFormat="false" ht="15" hidden="false" customHeight="false" outlineLevel="0" collapsed="false">
      <c r="A16" s="4" t="s">
        <v>54</v>
      </c>
      <c r="B16" s="9" t="n">
        <v>621415.91</v>
      </c>
      <c r="C16" s="9" t="n">
        <v>621415.91</v>
      </c>
      <c r="D16" s="14" t="n">
        <f aca="false">ROUND(C16-B16,2)</f>
        <v>0</v>
      </c>
      <c r="E16" s="8" t="str">
        <f aca="false">IF(ABS(D16)&lt;0.005,"Match","CHECK")</f>
        <v>Match</v>
      </c>
    </row>
    <row r="17" customFormat="false" ht="15" hidden="false" customHeight="false" outlineLevel="0" collapsed="false">
      <c r="A17" s="4" t="s">
        <v>55</v>
      </c>
      <c r="B17" s="9" t="n">
        <v>660179.62</v>
      </c>
      <c r="C17" s="9" t="n">
        <v>660179.62</v>
      </c>
      <c r="D17" s="14" t="n">
        <f aca="false">ROUND(C17-B17,2)</f>
        <v>0</v>
      </c>
      <c r="E17" s="8" t="str">
        <f aca="false">IF(ABS(D17)&lt;0.005,"Match","CHECK")</f>
        <v>Match</v>
      </c>
    </row>
    <row r="18" customFormat="false" ht="15" hidden="false" customHeight="false" outlineLevel="0" collapsed="false">
      <c r="A18" s="4" t="s">
        <v>56</v>
      </c>
      <c r="B18" s="9" t="n">
        <v>1003862.14</v>
      </c>
      <c r="C18" s="9" t="n">
        <v>1003862.14</v>
      </c>
      <c r="D18" s="14" t="n">
        <f aca="false">ROUND(C18-B18,2)</f>
        <v>0</v>
      </c>
      <c r="E18" s="8" t="str">
        <f aca="false">IF(ABS(D18)&lt;0.005,"Match","CHECK")</f>
        <v>Match</v>
      </c>
    </row>
    <row r="19" customFormat="false" ht="15" hidden="false" customHeight="false" outlineLevel="0" collapsed="false">
      <c r="A19" s="4" t="s">
        <v>57</v>
      </c>
      <c r="B19" s="9" t="n">
        <v>742183.79</v>
      </c>
      <c r="C19" s="9" t="n">
        <v>742183.79</v>
      </c>
      <c r="D19" s="14" t="n">
        <f aca="false">ROUND(C19-B19,2)</f>
        <v>0</v>
      </c>
      <c r="E19" s="8" t="str">
        <f aca="false">IF(ABS(D19)&lt;0.005,"Match","CHECK")</f>
        <v>Match</v>
      </c>
    </row>
    <row r="20" customFormat="false" ht="15" hidden="false" customHeight="false" outlineLevel="0" collapsed="false">
      <c r="A20" s="4" t="s">
        <v>58</v>
      </c>
      <c r="B20" s="9" t="n">
        <v>945456.29</v>
      </c>
      <c r="C20" s="9" t="n">
        <v>945456.29</v>
      </c>
      <c r="D20" s="14" t="n">
        <f aca="false">ROUND(C20-B20,2)</f>
        <v>0</v>
      </c>
      <c r="E20" s="8" t="str">
        <f aca="false">IF(ABS(D20)&lt;0.005,"Match","CHECK")</f>
        <v>Match</v>
      </c>
    </row>
    <row r="21" customFormat="false" ht="15" hidden="false" customHeight="false" outlineLevel="0" collapsed="false">
      <c r="A21" s="4" t="s">
        <v>59</v>
      </c>
      <c r="B21" s="9" t="n">
        <v>837895.43</v>
      </c>
      <c r="C21" s="9" t="n">
        <v>837895.43</v>
      </c>
      <c r="D21" s="14" t="n">
        <f aca="false">ROUND(C21-B21,2)</f>
        <v>0</v>
      </c>
      <c r="E21" s="8" t="str">
        <f aca="false">IF(ABS(D21)&lt;0.005,"Match","CHECK")</f>
        <v>Match</v>
      </c>
    </row>
    <row r="22" customFormat="false" ht="15" hidden="false" customHeight="false" outlineLevel="0" collapsed="false">
      <c r="A22" s="4" t="s">
        <v>60</v>
      </c>
      <c r="B22" s="9" t="n">
        <v>981051.06</v>
      </c>
      <c r="C22" s="9" t="n">
        <v>981051.06</v>
      </c>
      <c r="D22" s="14" t="n">
        <f aca="false">ROUND(C22-B22,2)</f>
        <v>0</v>
      </c>
      <c r="E22" s="8" t="str">
        <f aca="false">IF(ABS(D22)&lt;0.005,"Match","CHECK")</f>
        <v>Match</v>
      </c>
    </row>
    <row r="23" customFormat="false" ht="15" hidden="false" customHeight="false" outlineLevel="0" collapsed="false">
      <c r="A23" s="4" t="s">
        <v>61</v>
      </c>
      <c r="B23" s="9" t="n">
        <v>993592.98</v>
      </c>
      <c r="C23" s="9" t="n">
        <v>993592.98</v>
      </c>
      <c r="D23" s="14" t="n">
        <f aca="false">ROUND(C23-B23,2)</f>
        <v>0</v>
      </c>
      <c r="E23" s="8" t="str">
        <f aca="false">IF(ABS(D23)&lt;0.005,"Match","CHECK")</f>
        <v>Match</v>
      </c>
    </row>
    <row r="24" customFormat="false" ht="15" hidden="false" customHeight="false" outlineLevel="0" collapsed="false">
      <c r="A24" s="4" t="s">
        <v>62</v>
      </c>
      <c r="B24" s="9" t="n">
        <v>992871.75</v>
      </c>
      <c r="C24" s="9" t="n">
        <v>992871.75</v>
      </c>
      <c r="D24" s="14" t="n">
        <f aca="false">ROUND(C24-B24,2)</f>
        <v>0</v>
      </c>
      <c r="E24" s="8" t="str">
        <f aca="false">IF(ABS(D24)&lt;0.005,"Match","CHECK")</f>
        <v>Match</v>
      </c>
    </row>
    <row r="25" customFormat="false" ht="15" hidden="false" customHeight="false" outlineLevel="0" collapsed="false">
      <c r="A25" s="4" t="s">
        <v>63</v>
      </c>
      <c r="B25" s="9" t="n">
        <v>863265.53</v>
      </c>
      <c r="C25" s="9" t="n">
        <v>863265.53</v>
      </c>
      <c r="D25" s="14" t="n">
        <f aca="false">ROUND(C25-B25,2)</f>
        <v>0</v>
      </c>
      <c r="E25" s="8" t="str">
        <f aca="false">IF(ABS(D25)&lt;0.005,"Match","CHECK")</f>
        <v>Match</v>
      </c>
    </row>
    <row r="26" customFormat="false" ht="15" hidden="false" customHeight="false" outlineLevel="0" collapsed="false">
      <c r="A26" s="4" t="s">
        <v>64</v>
      </c>
      <c r="B26" s="9" t="n">
        <v>878044.27</v>
      </c>
      <c r="C26" s="9" t="n">
        <v>878044.27</v>
      </c>
      <c r="D26" s="14" t="n">
        <f aca="false">ROUND(C26-B26,2)</f>
        <v>0</v>
      </c>
      <c r="E26" s="8" t="str">
        <f aca="false">IF(ABS(D26)&lt;0.005,"Match","CHECK")</f>
        <v>Match</v>
      </c>
    </row>
    <row r="27" customFormat="false" ht="15" hidden="false" customHeight="false" outlineLevel="0" collapsed="false">
      <c r="A27" s="4" t="s">
        <v>65</v>
      </c>
      <c r="B27" s="9" t="n">
        <v>848860.1</v>
      </c>
      <c r="C27" s="9" t="n">
        <v>848860.1</v>
      </c>
      <c r="D27" s="14" t="n">
        <f aca="false">ROUND(C27-B27,2)</f>
        <v>0</v>
      </c>
      <c r="E27" s="8" t="str">
        <f aca="false">IF(ABS(D27)&lt;0.005,"Match","CHECK")</f>
        <v>Match</v>
      </c>
    </row>
    <row r="28" customFormat="false" ht="15" hidden="false" customHeight="false" outlineLevel="0" collapsed="false">
      <c r="A28" s="4" t="s">
        <v>66</v>
      </c>
      <c r="B28" s="9" t="n">
        <v>145</v>
      </c>
      <c r="C28" s="9" t="n">
        <v>145</v>
      </c>
      <c r="D28" s="14" t="n">
        <f aca="false">ROUND(C28-B28,2)</f>
        <v>0</v>
      </c>
      <c r="E28" s="8" t="str">
        <f aca="false">IF(ABS(D28)&lt;0.005,"Match","CHECK")</f>
        <v>Match</v>
      </c>
    </row>
    <row r="29" customFormat="false" ht="15" hidden="false" customHeight="false" outlineLevel="0" collapsed="false">
      <c r="A29" s="15" t="s">
        <v>67</v>
      </c>
      <c r="B29" s="16" t="n">
        <f aca="false">SUM(B5:B28)</f>
        <v>13494400.74</v>
      </c>
      <c r="C29" s="16" t="n">
        <f aca="false">SUM(C5:C28)</f>
        <v>13494400.74</v>
      </c>
      <c r="D29" s="16" t="n">
        <f aca="false">ROUND(C29-B29,2)</f>
        <v>0</v>
      </c>
      <c r="E29" s="17" t="str">
        <f aca="false">IF(ABS(D29)&lt;0.005,"Match","CHECK")</f>
        <v>Match</v>
      </c>
    </row>
    <row r="30" customFormat="false" ht="15" hidden="false" customHeight="false" outlineLevel="0" collapsed="false">
      <c r="A30" s="4" t="s">
        <v>68</v>
      </c>
      <c r="B30" s="9" t="n">
        <v>13494400.74</v>
      </c>
      <c r="C30" s="18"/>
      <c r="D30" s="14" t="n">
        <f aca="false">ROUND(B29-B30,2)</f>
        <v>0</v>
      </c>
      <c r="E30" s="8" t="str">
        <f aca="false">IF(ABS(D30)&lt;0.005,"Match","CHECK")</f>
        <v>Match</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9" t="s">
        <v>69</v>
      </c>
    </row>
    <row r="2" customFormat="false" ht="15" hidden="false" customHeight="false" outlineLevel="0" collapsed="false">
      <c r="A2" s="20" t="s">
        <v>70</v>
      </c>
    </row>
    <row r="3" customFormat="false" ht="15" hidden="false" customHeight="false" outlineLevel="0" collapsed="false">
      <c r="A3" s="20"/>
    </row>
    <row r="4" customFormat="false" ht="15" hidden="false" customHeight="false" outlineLevel="0" collapsed="false">
      <c r="A4" s="19" t="s">
        <v>71</v>
      </c>
    </row>
    <row r="5" customFormat="false" ht="23.85" hidden="false" customHeight="false" outlineLevel="0" collapsed="false">
      <c r="A5" s="20" t="s">
        <v>72</v>
      </c>
    </row>
    <row r="6" customFormat="false" ht="15" hidden="false" customHeight="false" outlineLevel="0" collapsed="false">
      <c r="A6" s="20"/>
    </row>
    <row r="7" customFormat="false" ht="15" hidden="false" customHeight="false" outlineLevel="0" collapsed="false">
      <c r="A7" s="19" t="s">
        <v>73</v>
      </c>
    </row>
    <row r="8" customFormat="false" ht="15" hidden="false" customHeight="false" outlineLevel="0" collapsed="false">
      <c r="A8" s="20" t="s">
        <v>74</v>
      </c>
    </row>
    <row r="9" customFormat="false" ht="23.85" hidden="false" customHeight="false" outlineLevel="0" collapsed="false">
      <c r="A9" s="20" t="s">
        <v>75</v>
      </c>
    </row>
    <row r="10" customFormat="false" ht="15" hidden="false" customHeight="false" outlineLevel="0" collapsed="false">
      <c r="A10" s="20" t="s">
        <v>76</v>
      </c>
    </row>
    <row r="11" customFormat="false" ht="15" hidden="false" customHeight="false" outlineLevel="0" collapsed="false">
      <c r="A11" s="20"/>
    </row>
    <row r="12" customFormat="false" ht="15" hidden="false" customHeight="false" outlineLevel="0" collapsed="false">
      <c r="A12" s="19" t="s">
        <v>77</v>
      </c>
    </row>
    <row r="13" customFormat="false" ht="23.85" hidden="false" customHeight="false" outlineLevel="0" collapsed="false">
      <c r="A13" s="20"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2026-10-23T12:09:32Z</dcterms:created>
  <dc:creator>openpyxl</dc:creator>
  <dc:description/>
  <dc:language>en-US</dc:language>
  <cp:lastModifiedBy/>
  <dcterms:modified xsi:type="dcterms:W3CDTF">2026-10-23T12:09:32Z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